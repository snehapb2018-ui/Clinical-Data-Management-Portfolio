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URESH BABU C\Documents\SNEHA\JOB\portfolio ideas\"/>
    </mc:Choice>
  </mc:AlternateContent>
  <xr:revisionPtr revIDLastSave="0" documentId="13_ncr:1_{9F0EC807-933B-40A1-BA9A-895B81E4050D}" xr6:coauthVersionLast="47" xr6:coauthVersionMax="47" xr10:uidLastSave="{00000000-0000-0000-0000-000000000000}"/>
  <bookViews>
    <workbookView xWindow="-108" yWindow="-108" windowWidth="23256" windowHeight="12456" xr2:uid="{13F457C6-974A-4D97-8E9A-D049667F8969}"/>
  </bookViews>
  <sheets>
    <sheet name="Dental OP" sheetId="1" r:id="rId1"/>
    <sheet name="Input Guide" sheetId="2" r:id="rId2"/>
    <sheet name="OPD Summary" sheetId="3" r:id="rId3"/>
  </sheets>
  <definedNames>
    <definedName name="Diagnosis_Codes">'Input Guide'!$A$2:$B$10</definedName>
  </definedName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3" l="1"/>
  <c r="B20" i="3"/>
  <c r="B17" i="3"/>
  <c r="B14" i="3"/>
  <c r="B12" i="3"/>
  <c r="B7" i="3"/>
  <c r="B8" i="3"/>
  <c r="B6" i="3"/>
  <c r="B5" i="3"/>
  <c r="B4" i="3"/>
  <c r="B9" i="3"/>
  <c r="K23" i="1" l="1"/>
  <c r="K24" i="1"/>
  <c r="K25" i="1"/>
  <c r="K26" i="1"/>
  <c r="K27" i="1"/>
  <c r="K28" i="1"/>
  <c r="K29" i="1"/>
  <c r="K30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" i="1"/>
  <c r="B22" i="3" l="1" a="1"/>
  <c r="B22" i="3" s="1"/>
  <c r="G23" i="1"/>
  <c r="G24" i="1"/>
  <c r="G25" i="1"/>
  <c r="G26" i="1"/>
  <c r="G27" i="1"/>
  <c r="G28" i="1"/>
  <c r="G29" i="1"/>
  <c r="G30" i="1"/>
  <c r="G31" i="1"/>
  <c r="G14" i="1"/>
  <c r="G15" i="1"/>
  <c r="G16" i="1"/>
  <c r="G17" i="1"/>
  <c r="G18" i="1"/>
  <c r="G19" i="1"/>
  <c r="G20" i="1"/>
  <c r="G21" i="1"/>
  <c r="G22" i="1"/>
  <c r="G7" i="1"/>
  <c r="G8" i="1"/>
  <c r="G9" i="1"/>
  <c r="G10" i="1"/>
  <c r="G11" i="1"/>
  <c r="G12" i="1"/>
  <c r="G13" i="1"/>
  <c r="G3" i="1"/>
  <c r="G4" i="1"/>
  <c r="G5" i="1"/>
  <c r="G6" i="1"/>
  <c r="G2" i="1"/>
  <c r="D31" i="1" l="1"/>
  <c r="D30" i="1"/>
  <c r="D29" i="1"/>
  <c r="D28" i="1"/>
  <c r="D27" i="1"/>
  <c r="D26" i="1"/>
  <c r="D25" i="1"/>
  <c r="D24" i="1"/>
  <c r="D23" i="1"/>
  <c r="D22" i="1"/>
  <c r="D21" i="1"/>
  <c r="D20" i="1"/>
  <c r="D18" i="1"/>
  <c r="D17" i="1"/>
  <c r="D16" i="1"/>
  <c r="D15" i="1"/>
  <c r="D14" i="1"/>
  <c r="D13" i="1"/>
  <c r="D12" i="1"/>
  <c r="D11" i="1"/>
  <c r="D10" i="1"/>
  <c r="D9" i="1"/>
  <c r="D8" i="1"/>
  <c r="D6" i="1"/>
  <c r="D5" i="1"/>
  <c r="D4" i="1"/>
  <c r="D3" i="1"/>
  <c r="D2" i="1"/>
  <c r="K1" i="1"/>
  <c r="J1" i="1"/>
  <c r="D1" i="1"/>
  <c r="I1" i="1"/>
  <c r="H1" i="1"/>
  <c r="G1" i="1"/>
  <c r="F1" i="1"/>
  <c r="E1" i="1"/>
  <c r="C1" i="1"/>
  <c r="B1" i="1"/>
  <c r="A1" i="1"/>
  <c r="B16" i="3" l="1"/>
  <c r="B15" i="3"/>
  <c r="B1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<sst xmlns="http://schemas.openxmlformats.org/spreadsheetml/2006/main" count="243" uniqueCount="85">
  <si>
    <t>OP-01</t>
  </si>
  <si>
    <t>OP-02</t>
  </si>
  <si>
    <t>OP-03</t>
  </si>
  <si>
    <t>OP-04</t>
  </si>
  <si>
    <t>OP-05</t>
  </si>
  <si>
    <t>OP-06</t>
  </si>
  <si>
    <t>OP-07</t>
  </si>
  <si>
    <t>OP-08</t>
  </si>
  <si>
    <t>OP-09</t>
  </si>
  <si>
    <t>OP-10</t>
  </si>
  <si>
    <t>OP-11</t>
  </si>
  <si>
    <t>OP-12</t>
  </si>
  <si>
    <t>OP-13</t>
  </si>
  <si>
    <t>OP-14</t>
  </si>
  <si>
    <t>OP-15</t>
  </si>
  <si>
    <t>OP-16</t>
  </si>
  <si>
    <t>OP-17</t>
  </si>
  <si>
    <t>OP-19</t>
  </si>
  <si>
    <t>OP-20</t>
  </si>
  <si>
    <t>OP-21</t>
  </si>
  <si>
    <t>OP-22</t>
  </si>
  <si>
    <t>OP-23</t>
  </si>
  <si>
    <t>OP-24</t>
  </si>
  <si>
    <t>OP-25</t>
  </si>
  <si>
    <t>OP-26</t>
  </si>
  <si>
    <t>OP-27</t>
  </si>
  <si>
    <t>OP-28</t>
  </si>
  <si>
    <t>OP-29</t>
  </si>
  <si>
    <t>OP-30</t>
  </si>
  <si>
    <t>Male</t>
  </si>
  <si>
    <t>Female</t>
  </si>
  <si>
    <t>Toothache</t>
  </si>
  <si>
    <t>Crowded teeth</t>
  </si>
  <si>
    <t>Missing tooth</t>
  </si>
  <si>
    <t>Bleeding Gums</t>
  </si>
  <si>
    <t>Periodontitis</t>
  </si>
  <si>
    <t>Dentoalveolar abscess</t>
  </si>
  <si>
    <t>Malocclusion</t>
  </si>
  <si>
    <t>Dental Caries</t>
  </si>
  <si>
    <t>Pulpitis</t>
  </si>
  <si>
    <t>Gingivitis</t>
  </si>
  <si>
    <t>Impacted tooth</t>
  </si>
  <si>
    <t>Diagnosis Codes</t>
  </si>
  <si>
    <t xml:space="preserve">Diagnosis </t>
  </si>
  <si>
    <t>Codes</t>
  </si>
  <si>
    <t>DG 01</t>
  </si>
  <si>
    <t>DG 02</t>
  </si>
  <si>
    <t>DG 03</t>
  </si>
  <si>
    <t>DG 04</t>
  </si>
  <si>
    <t>DG 05</t>
  </si>
  <si>
    <t>DG 06</t>
  </si>
  <si>
    <t>Referral to specialist</t>
  </si>
  <si>
    <t>DG 07</t>
  </si>
  <si>
    <t>Scaling</t>
  </si>
  <si>
    <t>Extraction</t>
  </si>
  <si>
    <t>Orthodontic consultation</t>
  </si>
  <si>
    <t>Restoration</t>
  </si>
  <si>
    <t>Root Canal Treatment</t>
  </si>
  <si>
    <t>Sex</t>
  </si>
  <si>
    <t>Treatment Status</t>
  </si>
  <si>
    <t>Pending</t>
  </si>
  <si>
    <t>In Progress</t>
  </si>
  <si>
    <t>Completed</t>
  </si>
  <si>
    <t>Referred</t>
  </si>
  <si>
    <t>Did Not Return</t>
  </si>
  <si>
    <t>Treatment Plans</t>
  </si>
  <si>
    <t>OPD Summary</t>
  </si>
  <si>
    <t>Metric</t>
  </si>
  <si>
    <t>Value</t>
  </si>
  <si>
    <t>Treatment Completed</t>
  </si>
  <si>
    <t>Total Patients Logged</t>
  </si>
  <si>
    <t>Treatment In Progress</t>
  </si>
  <si>
    <t>Pending Treatment</t>
  </si>
  <si>
    <t>Referred Patients</t>
  </si>
  <si>
    <t>Open Queries</t>
  </si>
  <si>
    <t>Diagnosis</t>
  </si>
  <si>
    <t>Count</t>
  </si>
  <si>
    <t>Patients who didn't return</t>
  </si>
  <si>
    <t>INPUT GUIDE</t>
  </si>
  <si>
    <t>Missing Diagnosis</t>
  </si>
  <si>
    <t>Duplicate Patient ID</t>
  </si>
  <si>
    <t>Query Category</t>
  </si>
  <si>
    <t>Row Labels</t>
  </si>
  <si>
    <t>Grand Total</t>
  </si>
  <si>
    <t>Sum of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</si>
</sst>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theme="0"/>
      <name val="Arial"/>
      <family val="2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name val="Arial"/>
      <family val="2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sz val="36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8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B7C0C7"/>
      </right>
      <top style="thin">
        <color indexed="64"/>
      </top>
      <bottom style="medium">
        <color indexed="64"/>
      </bottom>
      <diagonal/>
    </border>
    <border>
      <left style="thin">
        <color rgb="FFB7C0C7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7" fillId="3" borderId="3" xfId="0" applyFont="1" applyFill="1" applyBorder="1"/>
    <xf numFmtId="0" fontId="7" fillId="4" borderId="3" xfId="0" applyFont="1" applyFill="1" applyBorder="1"/>
    <xf numFmtId="0" fontId="0" fillId="0" borderId="0" xfId="0" applyAlignment="1">
      <alignment horizontal="center"/>
    </xf>
    <xf numFmtId="0" fontId="8" fillId="5" borderId="0" xfId="0" applyFont="1" applyFill="1" applyAlignment="1">
      <alignment horizontal="center"/>
    </xf>
    <xf numFmtId="0" fontId="6" fillId="6" borderId="4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5" fillId="9" borderId="12" xfId="0" applyFont="1" applyFill="1" applyBorder="1"/>
    <xf numFmtId="0" fontId="0" fillId="9" borderId="13" xfId="0" applyFill="1" applyBorder="1"/>
    <xf numFmtId="0" fontId="10" fillId="10" borderId="14" xfId="0" applyFont="1" applyFill="1" applyBorder="1"/>
    <xf numFmtId="0" fontId="10" fillId="10" borderId="15" xfId="0" applyFont="1" applyFill="1" applyBorder="1"/>
    <xf numFmtId="0" fontId="5" fillId="7" borderId="16" xfId="0" applyFont="1" applyFill="1" applyBorder="1"/>
    <xf numFmtId="0" fontId="11" fillId="7" borderId="17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9" fillId="9" borderId="5" xfId="0" applyFont="1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OPD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v>Total</c:v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FF5-4787-9262-72C4B2971A0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FF5-4787-9262-72C4B2971A0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FF5-4787-9262-72C4B2971A0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FF5-4787-9262-72C4B2971A0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FF5-4787-9262-72C4B2971A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6="http://schemas.microsoft.com/office/drawing/2014/chart" uri="{F5D05F6E-A05E-4728-AFD3-386EB277150F}">
                  <c16:filteredLitCache>
                    <c:strCache>
                      <c:ptCount val="2"/>
                      <c:pt idx="0">
                        <c:v>Open Queries</c:v>
                      </c:pt>
                      <c:pt idx="4">
                        <c:v>Total Patients Logged</c:v>
                      </c:pt>
                    </c:strCache>
                  </c16:filteredLitCache>
                </c:ext>
              </c:extLst>
              <c:f/>
              <c:strCache>
                <c:ptCount val="5"/>
                <c:pt idx="0">
                  <c:v>Patients who didn't return</c:v>
                </c:pt>
                <c:pt idx="1">
                  <c:v>Pending Treatment</c:v>
                </c:pt>
                <c:pt idx="2">
                  <c:v>Referred Patients</c:v>
                </c:pt>
                <c:pt idx="3">
                  <c:v>Treatment Completed</c:v>
                </c:pt>
                <c:pt idx="4">
                  <c:v>Treatment In Progress</c:v>
                </c:pt>
              </c:strCache>
            </c:strRef>
          </c:cat>
          <c:val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2"/>
                      <c:pt idx="0">
                        <c:v>7</c:v>
                      </c:pt>
                      <c:pt idx="4">
                        <c:v>30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5"/>
                <c:pt idx="0">
                  <c:v>3</c:v>
                </c:pt>
                <c:pt idx="1">
                  <c:v>0</c:v>
                </c:pt>
                <c:pt idx="2">
                  <c:v>12</c:v>
                </c:pt>
                <c:pt idx="3">
                  <c:v>12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F5D05F6E-A05E-4728-AFD3-386EB277150F}">
              <c16:categoryFilterExceptions>
                <c16:categoryFilterException>
                  <c16:uniqueId val="{0000000A-861A-4520-9295-659DC8C03D8E}"/>
                  <c16:invertIfNegative val="0"/>
                  <c16:bubble3D val="0"/>
                </c16:categoryFilterException>
              </c16:categoryFilterExceptions>
            </c:ext>
            <c:ext xmlns:c16="http://schemas.microsoft.com/office/drawing/2014/chart" uri="{C5897E43-82E2-4C41-B96C-FBF1F857EA46}">
              <c16:datapointuniqueidmap xmlns:c16="http://schemas.microsoft.com/office/drawing/2014/chart">
                <c16:ptentry>
                  <c16:ptidx>0</c16:ptidx>
                  <c16:uniqueID val="{0000000A-861A-4520-9295-659DC8C03D8E}"/>
                </c16:ptentry>
              </c16:datapointuniqueidmap>
            </c:ext>
            <c:ext xmlns:c16="http://schemas.microsoft.com/office/drawing/2014/chart" uri="{C3380CC4-5D6E-409C-BE32-E72D297353CC}">
              <c16:uniqueId val="{00000000-93B6-4123-89D6-7A8C585E8D9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8744272"/>
        <c:axId val="198736592"/>
      </c:barChart>
      <c:catAx>
        <c:axId val="198744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198736592"/>
        <c:crosses val="autoZero"/>
        <c:auto val="1"/>
        <c:lblAlgn val="ctr"/>
        <c:lblOffset val="100"/>
        <c:noMultiLvlLbl val="0"/>
      </c:catAx>
      <c:valAx>
        <c:axId val="198736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4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[SnehaP_Dental_OPD_Excel_Sample.xlsx]OPD Summary!PivotTable1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Case</a:t>
            </a:r>
            <a:r>
              <a:rPr lang="en-US" b="1" baseline="0"/>
              <a:t> Count by Diagnosis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spc="0" normalizeH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'OPD Summary'!$G$22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'OPD Summary'!$F$23:$F$29</c:f>
              <c:strCache>
                <c:ptCount val="6"/>
                <c:pt idx="0">
                  <c:v>Dental Caries</c:v>
                </c:pt>
                <c:pt idx="1">
                  <c:v>Dentoalveolar abscess</c:v>
                </c:pt>
                <c:pt idx="2">
                  <c:v>Gingivitis</c:v>
                </c:pt>
                <c:pt idx="3">
                  <c:v>Malocclusion</c:v>
                </c:pt>
                <c:pt idx="4">
                  <c:v>Periodontitis</c:v>
                </c:pt>
                <c:pt idx="5">
                  <c:v>Pulpitis</c:v>
                </c:pt>
              </c:strCache>
            </c:strRef>
          </c:cat>
          <c:val>
            <c:numRef>
              <c:f>'OPD Summary'!$G$23:$G$29</c:f>
              <c:numCache>
                <c:formatCode>General</c:formatCode>
                <c:ptCount val="6"/>
                <c:pt idx="0">
                  <c:v>4</c:v>
                </c:pt>
                <c:pt idx="1">
                  <c:v>1</c:v>
                </c:pt>
                <c:pt idx="2">
                  <c:v>7</c:v>
                </c:pt>
                <c:pt idx="3">
                  <c:v>4</c:v>
                </c:pt>
                <c:pt idx="4">
                  <c:v>5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D9-40E8-A509-3BE7A4323D1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1050197263"/>
        <c:axId val="1050208303"/>
      </c:barChart>
      <c:catAx>
        <c:axId val="105019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208303"/>
        <c:crosses val="autoZero"/>
        <c:auto val="1"/>
        <c:lblAlgn val="ctr"/>
        <c:lblOffset val="100"/>
        <c:noMultiLvlLbl val="0"/>
      </c:catAx>
      <c:valAx>
        <c:axId val="105020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19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[SnehaP_Dental_OPD_Excel_Sample.xlsx]OPD Summary!PivotTable2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Distribution</a:t>
            </a:r>
            <a:r>
              <a:rPr lang="en-US" b="1" baseline="0"/>
              <a:t> of Query Categories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'OPD Summary'!$G$42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'OPD Summary'!$F$43:$F$46</c:f>
              <c:strCache>
                <c:ptCount val="3"/>
                <c:pt idx="0">
                  <c:v>Duplicate Patient ID</c:v>
                </c:pt>
                <c:pt idx="1">
                  <c:v>Missing Diagnosis</c:v>
                </c:pt>
                <c:pt idx="2">
                  <c:v>Open Queries</c:v>
                </c:pt>
              </c:strCache>
            </c:strRef>
          </c:cat>
          <c:val>
            <c:numRef>
              <c:f>'OPD Summary'!$G$43:$G$46</c:f>
              <c:numCache>
                <c:formatCode>General</c:formatCode>
                <c:ptCount val="3"/>
                <c:pt idx="0">
                  <c:v>1</c:v>
                </c:pt>
                <c:pt idx="1">
                  <c:v>6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6-4928-975D-8AE1CF78E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2382031"/>
        <c:axId val="1222396431"/>
      </c:barChart>
      <c:catAx>
        <c:axId val="122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endParaRPr lang="en-US"/>
          </a:p>
        </c:txPr>
        <c:crossAx val="1222396431"/>
        <c:crosses val="autoZero"/>
        <c:auto val="1"/>
        <c:lblAlgn val="ctr"/>
        <c:lblOffset val="100"/>
        <c:noMultiLvlLbl val="0"/>
      </c:catAx>
      <c:valAx>
        <c:axId val="122239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38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255270</xdr:rowOff>
    </xdr:from>
    <xdr:to>
      <xdr:col>13</xdr:col>
      <xdr:colOff>91440</xdr:colOff>
      <xdr:row>17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30E695-1B48-16EC-BFDF-A576397CE6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434340</xdr:colOff>
      <xdr:row>20</xdr:row>
      <xdr:rowOff>156210</xdr:rowOff>
    </xdr:from>
    <xdr:to>
      <xdr:col>14</xdr:col>
      <xdr:colOff>7620</xdr:colOff>
      <xdr:row>35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F8AB86-1F3B-5601-D473-B226F6C83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403860</xdr:colOff>
      <xdr:row>39</xdr:row>
      <xdr:rowOff>3810</xdr:rowOff>
    </xdr:from>
    <xdr:to>
      <xdr:col>14</xdr:col>
      <xdr:colOff>22860</xdr:colOff>
      <xdr:row>55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06377A-F9D4-36AF-F415-72FFBDC547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ESH BABU C" refreshedDate="46194.310380555558" createdVersion="8" refreshedVersion="8" minRefreshableVersion="3" recordCount="6" xr:uid="{F09FD620-F136-40C7-9E2B-C0A25B87B3ED}">
  <cacheSource type="worksheet">
    <worksheetSource ref="A11:B17" sheet="OPD Summary"/>
  </cacheSource>
  <cacheFields count="2">
    <cacheField name="Diagnosis" numFmtId="0">
      <sharedItems count="6">
        <s v="Dental Caries"/>
        <s v="Pulpitis"/>
        <s v="Periodontitis"/>
        <s v="Dentoalveolar abscess"/>
        <s v="Malocclusion"/>
        <s v="Gingivitis"/>
      </sharedItems>
    </cacheField>
    <cacheField name="Count" numFmtId="0">
      <sharedItems containsSemiMixedTypes="0" containsString="0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ESH BABU C" refreshedDate="46194.311839814814" createdVersion="8" refreshedVersion="8" minRefreshableVersion="3" recordCount="3" xr:uid="{DCAA0C3B-DF44-495D-8602-428991B20B16}">
  <cacheSource type="worksheet">
    <worksheetSource ref="A19:B22" sheet="OPD Summary"/>
  </cacheSource>
  <cacheFields count="2">
    <cacheField name="Query Category" numFmtId="0">
      <sharedItems count="3">
        <s v="Missing Diagnosis"/>
        <s v="Duplicate Patient ID"/>
        <s v="Open Queries"/>
      </sharedItems>
    </cacheField>
    <cacheField name="Count" numFmtId="0">
      <sharedItems containsSemiMixedTypes="0" containsString="0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4"/>
  </r>
  <r>
    <x v="1"/>
    <n v="2"/>
  </r>
  <r>
    <x v="2"/>
    <n v="5"/>
  </r>
  <r>
    <x v="3"/>
    <n v="1"/>
  </r>
  <r>
    <x v="4"/>
    <n v="4"/>
  </r>
  <r>
    <x v="5"/>
    <n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6"/>
  </r>
  <r>
    <x v="1"/>
    <n v="1"/>
  </r>
  <r>
    <x v="2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CFE540-A413-49ED-9789-300ABF2EEA6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F42:G46" firstHeaderRow="1" firstDataRow="1" firstDataCol="1"/>
  <pivotFields count="2"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oun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6E74E9-5542-4EB3-844A-491172F9164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22:G29" firstHeaderRow="1" firstDataRow="1" firstDataCol="1"/>
  <pivotFields count="2">
    <pivotField axis="axisRow" showAll="0">
      <items count="7">
        <item x="0"/>
        <item x="3"/>
        <item x="5"/>
        <item x="4"/>
        <item x="2"/>
        <item x="1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oun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3A86E-26C8-4918-9918-17051656A86E}">
  <sheetPr>
    <tabColor rgb="FF0070C0"/>
  </sheetPr>
  <dimension ref="A1:K31"/>
  <sheetViews>
    <sheetView tabSelected="1" zoomScale="74" zoomScaleNormal="91" workbookViewId="0">
      <selection activeCell="F11" sqref="F11"/>
    </sheetView>
  </sheetViews>
  <sheetFormatPr defaultRowHeight="14.4" x14ac:dyDescent="0.3"/>
  <cols>
    <col min="1" max="1" width="17.21875" style="4" customWidth="1"/>
    <col min="2" max="2" width="12" style="4" customWidth="1"/>
    <col min="3" max="3" width="12.33203125" style="4" customWidth="1"/>
    <col min="4" max="4" width="23.77734375" style="4" customWidth="1"/>
    <col min="5" max="5" width="27.44140625" style="4" customWidth="1"/>
    <col min="6" max="6" width="22.109375" style="4" customWidth="1"/>
    <col min="7" max="7" width="29.33203125" style="4" customWidth="1"/>
    <col min="8" max="8" width="36.77734375" style="4" customWidth="1"/>
    <col min="9" max="9" width="31.6640625" style="4" customWidth="1"/>
    <col min="10" max="10" width="28.44140625" style="4" customWidth="1"/>
    <col min="11" max="11" width="25.77734375" style="4" customWidth="1"/>
    <col min="12" max="12" width="33.88671875" style="4" customWidth="1"/>
    <col min="13" max="16384" width="8.88671875" style="4"/>
  </cols>
  <sheetData>
    <row r="1" spans="1:11" ht="32.4" customHeight="1" x14ac:dyDescent="0.3">
      <c r="A1" s="2" t="str">
        <f>PROPER("Patient Id")</f>
        <v>Patient Id</v>
      </c>
      <c r="B1" s="3" t="str">
        <f>PROPER("AGE")</f>
        <v>Age</v>
      </c>
      <c r="C1" s="3" t="str">
        <f>PROPER("SEX")</f>
        <v>Sex</v>
      </c>
      <c r="D1" s="1" t="str">
        <f>PROPER("VISIT DATE")</f>
        <v>Visit Date</v>
      </c>
      <c r="E1" s="2" t="str">
        <f>PROPER("CHIEF COMPLAINT")</f>
        <v>Chief Complaint</v>
      </c>
      <c r="F1" s="3" t="str">
        <f>PROPER("DIAGNOSIS")</f>
        <v>Diagnosis</v>
      </c>
      <c r="G1" s="1" t="str">
        <f>PROPER("DIAGNOSIS CODE")</f>
        <v>Diagnosis Code</v>
      </c>
      <c r="H1" s="2" t="str">
        <f>PROPER("TREATMENT PLAN")</f>
        <v>Treatment Plan</v>
      </c>
      <c r="I1" s="3" t="str">
        <f>PROPER("TREATMENT STATUS")</f>
        <v>Treatment Status</v>
      </c>
      <c r="J1" s="3" t="str">
        <f>PROPER("FOLLOW UP DATE")</f>
        <v>Follow Up Date</v>
      </c>
      <c r="K1" s="3" t="str">
        <f>PROPER("QUERY FLAG")</f>
        <v>Query Flag</v>
      </c>
    </row>
    <row r="2" spans="1:11" x14ac:dyDescent="0.3">
      <c r="A2" s="4" t="s">
        <v>0</v>
      </c>
      <c r="B2" s="4">
        <v>38</v>
      </c>
      <c r="C2" s="4" t="s">
        <v>29</v>
      </c>
      <c r="D2" s="5">
        <f ca="1">RANDBETWEEN(DATE(2026, 4,1), DATE(2026, 6, 20))</f>
        <v>46142</v>
      </c>
      <c r="E2" s="4" t="s">
        <v>33</v>
      </c>
      <c r="F2" s="4" t="s">
        <v>35</v>
      </c>
      <c r="G2" s="4" t="str">
        <f t="shared" ref="G2:G31" si="0">IFERROR(VLOOKUP(F2, Diagnosis_Codes, 2, 0), "")</f>
        <v>DG 05</v>
      </c>
      <c r="H2" s="4" t="s">
        <v>51</v>
      </c>
      <c r="I2" s="4" t="s">
        <v>63</v>
      </c>
      <c r="J2" s="5">
        <v>46162</v>
      </c>
      <c r="K2" s="4" t="str">
        <f>IF(COUNTIF(A2:A31, A2)&gt;1, "Query:Duplicate Patient ID", IF(F2="", "Query:Diagnosis Missing", "") )</f>
        <v/>
      </c>
    </row>
    <row r="3" spans="1:11" x14ac:dyDescent="0.3">
      <c r="A3" s="4" t="s">
        <v>1</v>
      </c>
      <c r="B3" s="4">
        <v>50</v>
      </c>
      <c r="C3" s="4" t="s">
        <v>30</v>
      </c>
      <c r="D3" s="5">
        <f t="shared" ref="D3:D31" ca="1" si="1">RANDBETWEEN(DATE(2026, 4,1), DATE(2026, 6, 20))</f>
        <v>46149</v>
      </c>
      <c r="E3" s="4" t="s">
        <v>31</v>
      </c>
      <c r="F3" s="4" t="s">
        <v>36</v>
      </c>
      <c r="G3" s="4" t="str">
        <f t="shared" si="0"/>
        <v>DG 03</v>
      </c>
      <c r="H3" s="4" t="s">
        <v>54</v>
      </c>
      <c r="I3" s="4" t="s">
        <v>64</v>
      </c>
      <c r="K3" s="4" t="str">
        <f t="shared" ref="K3:K30" si="2">IF(COUNTIF(A3:A32, A3)&gt;1, "Query:Duplicate Patient ID", IF(F3="", "Query:Diagnosis Missing", "") )</f>
        <v/>
      </c>
    </row>
    <row r="4" spans="1:11" x14ac:dyDescent="0.3">
      <c r="A4" s="4" t="s">
        <v>2</v>
      </c>
      <c r="B4" s="4">
        <v>43</v>
      </c>
      <c r="C4" s="4" t="s">
        <v>29</v>
      </c>
      <c r="D4" s="5">
        <f t="shared" ca="1" si="1"/>
        <v>46165</v>
      </c>
      <c r="E4" s="4" t="s">
        <v>34</v>
      </c>
      <c r="F4" s="4" t="s">
        <v>40</v>
      </c>
      <c r="G4" s="4" t="str">
        <f t="shared" si="0"/>
        <v>DG 04</v>
      </c>
      <c r="H4" s="4" t="s">
        <v>53</v>
      </c>
      <c r="I4" s="4" t="s">
        <v>62</v>
      </c>
      <c r="K4" s="4" t="str">
        <f t="shared" si="2"/>
        <v/>
      </c>
    </row>
    <row r="5" spans="1:11" x14ac:dyDescent="0.3">
      <c r="A5" s="4" t="s">
        <v>3</v>
      </c>
      <c r="B5" s="4">
        <v>23</v>
      </c>
      <c r="C5" s="4" t="s">
        <v>30</v>
      </c>
      <c r="D5" s="5">
        <f t="shared" ca="1" si="1"/>
        <v>46142</v>
      </c>
      <c r="E5" s="4" t="s">
        <v>31</v>
      </c>
      <c r="F5" s="4" t="s">
        <v>41</v>
      </c>
      <c r="G5" s="4" t="str">
        <f t="shared" si="0"/>
        <v>DG 07</v>
      </c>
      <c r="H5" s="4" t="s">
        <v>54</v>
      </c>
      <c r="I5" s="4" t="s">
        <v>61</v>
      </c>
      <c r="J5" s="5">
        <v>46132</v>
      </c>
      <c r="K5" s="4" t="str">
        <f t="shared" si="2"/>
        <v/>
      </c>
    </row>
    <row r="6" spans="1:11" x14ac:dyDescent="0.3">
      <c r="A6" s="4" t="s">
        <v>4</v>
      </c>
      <c r="B6" s="4">
        <v>11</v>
      </c>
      <c r="C6" s="4" t="s">
        <v>30</v>
      </c>
      <c r="D6" s="5">
        <f t="shared" ca="1" si="1"/>
        <v>46149</v>
      </c>
      <c r="E6" s="4" t="s">
        <v>32</v>
      </c>
      <c r="F6" s="4" t="s">
        <v>37</v>
      </c>
      <c r="G6" s="4" t="str">
        <f t="shared" si="0"/>
        <v>DG 06</v>
      </c>
      <c r="H6" s="4" t="s">
        <v>55</v>
      </c>
      <c r="I6" s="4" t="s">
        <v>63</v>
      </c>
      <c r="J6" s="5">
        <v>46181</v>
      </c>
      <c r="K6" s="4" t="str">
        <f t="shared" si="2"/>
        <v/>
      </c>
    </row>
    <row r="7" spans="1:11" x14ac:dyDescent="0.3">
      <c r="A7" s="4" t="s">
        <v>5</v>
      </c>
      <c r="B7" s="4">
        <v>26</v>
      </c>
      <c r="C7" s="4" t="s">
        <v>29</v>
      </c>
      <c r="D7" s="5">
        <v>46168</v>
      </c>
      <c r="E7" s="4" t="s">
        <v>32</v>
      </c>
      <c r="F7" s="4" t="s">
        <v>37</v>
      </c>
      <c r="G7" s="4" t="str">
        <f t="shared" si="0"/>
        <v>DG 06</v>
      </c>
      <c r="H7" s="4" t="s">
        <v>55</v>
      </c>
      <c r="I7" s="4" t="s">
        <v>64</v>
      </c>
      <c r="K7" s="4" t="str">
        <f t="shared" si="2"/>
        <v>Query:Duplicate Patient ID</v>
      </c>
    </row>
    <row r="8" spans="1:11" x14ac:dyDescent="0.3">
      <c r="A8" s="4" t="s">
        <v>6</v>
      </c>
      <c r="B8" s="4">
        <v>65</v>
      </c>
      <c r="C8" s="4" t="s">
        <v>30</v>
      </c>
      <c r="D8" s="5">
        <f t="shared" ca="1" si="1"/>
        <v>46131</v>
      </c>
      <c r="E8" s="4" t="s">
        <v>33</v>
      </c>
      <c r="F8" s="4" t="s">
        <v>35</v>
      </c>
      <c r="G8" s="4" t="str">
        <f t="shared" si="0"/>
        <v>DG 05</v>
      </c>
      <c r="H8" s="4" t="s">
        <v>51</v>
      </c>
      <c r="I8" s="4" t="s">
        <v>64</v>
      </c>
      <c r="K8" s="4" t="str">
        <f t="shared" si="2"/>
        <v/>
      </c>
    </row>
    <row r="9" spans="1:11" x14ac:dyDescent="0.3">
      <c r="A9" s="4" t="s">
        <v>7</v>
      </c>
      <c r="B9" s="4">
        <v>53</v>
      </c>
      <c r="C9" s="4" t="s">
        <v>30</v>
      </c>
      <c r="D9" s="5">
        <f t="shared" ca="1" si="1"/>
        <v>46136</v>
      </c>
      <c r="E9" s="4" t="s">
        <v>33</v>
      </c>
      <c r="F9" s="4" t="s">
        <v>35</v>
      </c>
      <c r="G9" s="4" t="str">
        <f t="shared" si="0"/>
        <v>DG 05</v>
      </c>
      <c r="H9" s="4" t="s">
        <v>51</v>
      </c>
      <c r="I9" s="4" t="s">
        <v>63</v>
      </c>
      <c r="J9" s="5">
        <v>46150</v>
      </c>
      <c r="K9" s="4" t="str">
        <f t="shared" si="2"/>
        <v/>
      </c>
    </row>
    <row r="10" spans="1:11" x14ac:dyDescent="0.3">
      <c r="A10" s="4" t="s">
        <v>8</v>
      </c>
      <c r="B10" s="4">
        <v>34</v>
      </c>
      <c r="C10" s="4" t="s">
        <v>29</v>
      </c>
      <c r="D10" s="5">
        <f t="shared" ca="1" si="1"/>
        <v>46135</v>
      </c>
      <c r="E10" s="4" t="s">
        <v>31</v>
      </c>
      <c r="G10" s="4" t="str">
        <f t="shared" si="0"/>
        <v/>
      </c>
      <c r="H10" s="4" t="s">
        <v>57</v>
      </c>
      <c r="I10" s="4" t="s">
        <v>61</v>
      </c>
      <c r="J10" s="5">
        <v>46162</v>
      </c>
      <c r="K10" s="4" t="str">
        <f t="shared" si="2"/>
        <v>Query:Diagnosis Missing</v>
      </c>
    </row>
    <row r="11" spans="1:11" x14ac:dyDescent="0.3">
      <c r="A11" s="4" t="s">
        <v>9</v>
      </c>
      <c r="B11" s="4">
        <v>56</v>
      </c>
      <c r="C11" s="4" t="s">
        <v>29</v>
      </c>
      <c r="D11" s="5">
        <f t="shared" ca="1" si="1"/>
        <v>46120</v>
      </c>
      <c r="E11" s="4" t="s">
        <v>31</v>
      </c>
      <c r="F11" s="4" t="s">
        <v>38</v>
      </c>
      <c r="G11" s="4" t="str">
        <f t="shared" si="0"/>
        <v>DG 01</v>
      </c>
      <c r="H11" s="4" t="s">
        <v>56</v>
      </c>
      <c r="I11" s="4" t="s">
        <v>62</v>
      </c>
      <c r="K11" s="4" t="str">
        <f t="shared" si="2"/>
        <v/>
      </c>
    </row>
    <row r="12" spans="1:11" x14ac:dyDescent="0.3">
      <c r="A12" s="4" t="s">
        <v>10</v>
      </c>
      <c r="B12" s="4">
        <v>56</v>
      </c>
      <c r="C12" s="4" t="s">
        <v>29</v>
      </c>
      <c r="D12" s="5">
        <f t="shared" ca="1" si="1"/>
        <v>46122</v>
      </c>
      <c r="E12" s="4" t="s">
        <v>31</v>
      </c>
      <c r="G12" s="4" t="str">
        <f t="shared" si="0"/>
        <v/>
      </c>
      <c r="H12" s="4" t="s">
        <v>57</v>
      </c>
      <c r="I12" s="4" t="s">
        <v>63</v>
      </c>
      <c r="J12" s="5">
        <v>46198</v>
      </c>
      <c r="K12" s="4" t="str">
        <f t="shared" si="2"/>
        <v>Query:Diagnosis Missing</v>
      </c>
    </row>
    <row r="13" spans="1:11" x14ac:dyDescent="0.3">
      <c r="A13" s="4" t="s">
        <v>11</v>
      </c>
      <c r="B13" s="4">
        <v>33</v>
      </c>
      <c r="C13" s="4" t="s">
        <v>30</v>
      </c>
      <c r="D13" s="5">
        <f t="shared" ca="1" si="1"/>
        <v>46150</v>
      </c>
      <c r="E13" s="4" t="s">
        <v>31</v>
      </c>
      <c r="F13" s="4" t="s">
        <v>38</v>
      </c>
      <c r="G13" s="4" t="str">
        <f t="shared" si="0"/>
        <v>DG 01</v>
      </c>
      <c r="H13" s="4" t="s">
        <v>56</v>
      </c>
      <c r="I13" s="4" t="s">
        <v>62</v>
      </c>
      <c r="K13" s="4" t="str">
        <f t="shared" si="2"/>
        <v/>
      </c>
    </row>
    <row r="14" spans="1:11" x14ac:dyDescent="0.3">
      <c r="A14" s="4" t="s">
        <v>12</v>
      </c>
      <c r="B14" s="4">
        <v>12</v>
      </c>
      <c r="C14" s="4" t="s">
        <v>29</v>
      </c>
      <c r="D14" s="5">
        <f t="shared" ca="1" si="1"/>
        <v>46181</v>
      </c>
      <c r="E14" s="4" t="s">
        <v>32</v>
      </c>
      <c r="F14" s="4" t="s">
        <v>37</v>
      </c>
      <c r="G14" s="4" t="str">
        <f t="shared" si="0"/>
        <v>DG 06</v>
      </c>
      <c r="H14" s="4" t="s">
        <v>55</v>
      </c>
      <c r="I14" s="4" t="s">
        <v>63</v>
      </c>
      <c r="J14" s="5">
        <v>46165</v>
      </c>
      <c r="K14" s="4" t="str">
        <f t="shared" si="2"/>
        <v/>
      </c>
    </row>
    <row r="15" spans="1:11" x14ac:dyDescent="0.3">
      <c r="A15" s="4" t="s">
        <v>13</v>
      </c>
      <c r="B15" s="4">
        <v>7</v>
      </c>
      <c r="C15" s="4" t="s">
        <v>29</v>
      </c>
      <c r="D15" s="5">
        <f t="shared" ca="1" si="1"/>
        <v>46161</v>
      </c>
      <c r="E15" s="4" t="s">
        <v>31</v>
      </c>
      <c r="F15" s="4" t="s">
        <v>38</v>
      </c>
      <c r="G15" s="4" t="str">
        <f t="shared" si="0"/>
        <v>DG 01</v>
      </c>
      <c r="H15" s="4" t="s">
        <v>56</v>
      </c>
      <c r="I15" s="4" t="s">
        <v>62</v>
      </c>
      <c r="K15" s="4" t="str">
        <f t="shared" si="2"/>
        <v/>
      </c>
    </row>
    <row r="16" spans="1:11" x14ac:dyDescent="0.3">
      <c r="A16" s="4" t="s">
        <v>14</v>
      </c>
      <c r="B16" s="4">
        <v>37</v>
      </c>
      <c r="C16" s="4" t="s">
        <v>29</v>
      </c>
      <c r="D16" s="5">
        <f t="shared" ca="1" si="1"/>
        <v>46125</v>
      </c>
      <c r="E16" s="4" t="s">
        <v>34</v>
      </c>
      <c r="F16" s="4" t="s">
        <v>40</v>
      </c>
      <c r="G16" s="4" t="str">
        <f t="shared" si="0"/>
        <v>DG 04</v>
      </c>
      <c r="H16" s="4" t="s">
        <v>53</v>
      </c>
      <c r="I16" s="4" t="s">
        <v>62</v>
      </c>
      <c r="K16" s="4" t="str">
        <f t="shared" si="2"/>
        <v/>
      </c>
    </row>
    <row r="17" spans="1:11" x14ac:dyDescent="0.3">
      <c r="A17" s="4" t="s">
        <v>15</v>
      </c>
      <c r="B17" s="4">
        <v>26</v>
      </c>
      <c r="C17" s="4" t="s">
        <v>30</v>
      </c>
      <c r="D17" s="5">
        <f t="shared" ca="1" si="1"/>
        <v>46158</v>
      </c>
      <c r="E17" s="4" t="s">
        <v>34</v>
      </c>
      <c r="F17" s="4" t="s">
        <v>40</v>
      </c>
      <c r="G17" s="4" t="str">
        <f t="shared" si="0"/>
        <v>DG 04</v>
      </c>
      <c r="H17" s="4" t="s">
        <v>53</v>
      </c>
      <c r="I17" s="4" t="s">
        <v>62</v>
      </c>
      <c r="K17" s="4" t="str">
        <f t="shared" si="2"/>
        <v/>
      </c>
    </row>
    <row r="18" spans="1:11" x14ac:dyDescent="0.3">
      <c r="A18" s="4" t="s">
        <v>16</v>
      </c>
      <c r="B18" s="4">
        <v>18</v>
      </c>
      <c r="C18" s="4" t="s">
        <v>30</v>
      </c>
      <c r="D18" s="5">
        <f t="shared" ca="1" si="1"/>
        <v>46180</v>
      </c>
      <c r="E18" s="4" t="s">
        <v>32</v>
      </c>
      <c r="G18" s="4" t="str">
        <f t="shared" si="0"/>
        <v/>
      </c>
      <c r="I18" s="4" t="s">
        <v>63</v>
      </c>
      <c r="J18" s="5">
        <v>46121</v>
      </c>
      <c r="K18" s="4" t="str">
        <f t="shared" si="2"/>
        <v>Query:Diagnosis Missing</v>
      </c>
    </row>
    <row r="19" spans="1:11" x14ac:dyDescent="0.3">
      <c r="A19" s="4" t="s">
        <v>5</v>
      </c>
      <c r="B19" s="4">
        <v>26</v>
      </c>
      <c r="C19" s="4" t="s">
        <v>29</v>
      </c>
      <c r="D19" s="5">
        <v>46168</v>
      </c>
      <c r="E19" s="4" t="s">
        <v>32</v>
      </c>
      <c r="F19" s="4" t="s">
        <v>37</v>
      </c>
      <c r="G19" s="4" t="str">
        <f t="shared" si="0"/>
        <v>DG 06</v>
      </c>
      <c r="H19" s="4" t="s">
        <v>55</v>
      </c>
      <c r="I19" s="4" t="s">
        <v>63</v>
      </c>
      <c r="J19" s="5">
        <v>46172</v>
      </c>
      <c r="K19" s="4" t="str">
        <f t="shared" si="2"/>
        <v/>
      </c>
    </row>
    <row r="20" spans="1:11" x14ac:dyDescent="0.3">
      <c r="A20" s="4" t="s">
        <v>17</v>
      </c>
      <c r="B20" s="4">
        <v>45</v>
      </c>
      <c r="C20" s="4" t="s">
        <v>30</v>
      </c>
      <c r="D20" s="5">
        <f t="shared" ca="1" si="1"/>
        <v>46184</v>
      </c>
      <c r="E20" s="4" t="s">
        <v>33</v>
      </c>
      <c r="F20" s="4" t="s">
        <v>35</v>
      </c>
      <c r="G20" s="4" t="str">
        <f t="shared" si="0"/>
        <v>DG 05</v>
      </c>
      <c r="H20" s="4" t="s">
        <v>51</v>
      </c>
      <c r="I20" s="4" t="s">
        <v>63</v>
      </c>
      <c r="J20" s="5">
        <v>46189</v>
      </c>
      <c r="K20" s="4" t="str">
        <f t="shared" si="2"/>
        <v/>
      </c>
    </row>
    <row r="21" spans="1:11" x14ac:dyDescent="0.3">
      <c r="A21" s="4" t="s">
        <v>18</v>
      </c>
      <c r="B21" s="4">
        <v>63</v>
      </c>
      <c r="C21" s="4" t="s">
        <v>30</v>
      </c>
      <c r="D21" s="5">
        <f t="shared" ca="1" si="1"/>
        <v>46193</v>
      </c>
      <c r="E21" s="4" t="s">
        <v>33</v>
      </c>
      <c r="F21" s="4" t="s">
        <v>35</v>
      </c>
      <c r="G21" s="4" t="str">
        <f t="shared" si="0"/>
        <v>DG 05</v>
      </c>
      <c r="H21" s="4" t="s">
        <v>51</v>
      </c>
      <c r="I21" s="4" t="s">
        <v>63</v>
      </c>
      <c r="J21" s="5">
        <v>46191</v>
      </c>
      <c r="K21" s="4" t="str">
        <f t="shared" si="2"/>
        <v/>
      </c>
    </row>
    <row r="22" spans="1:11" x14ac:dyDescent="0.3">
      <c r="A22" s="4" t="s">
        <v>19</v>
      </c>
      <c r="B22" s="4">
        <v>55</v>
      </c>
      <c r="C22" s="4" t="s">
        <v>29</v>
      </c>
      <c r="D22" s="5">
        <f t="shared" ca="1" si="1"/>
        <v>46157</v>
      </c>
      <c r="E22" s="4" t="s">
        <v>31</v>
      </c>
      <c r="G22" s="4" t="str">
        <f t="shared" si="0"/>
        <v/>
      </c>
      <c r="H22" s="4" t="s">
        <v>56</v>
      </c>
      <c r="I22" s="4" t="s">
        <v>62</v>
      </c>
      <c r="K22" s="4" t="str">
        <f t="shared" si="2"/>
        <v>Query:Diagnosis Missing</v>
      </c>
    </row>
    <row r="23" spans="1:11" x14ac:dyDescent="0.3">
      <c r="A23" s="4" t="s">
        <v>20</v>
      </c>
      <c r="B23" s="4">
        <v>40</v>
      </c>
      <c r="C23" s="4" t="s">
        <v>30</v>
      </c>
      <c r="D23" s="5">
        <f t="shared" ca="1" si="1"/>
        <v>46147</v>
      </c>
      <c r="E23" s="4" t="s">
        <v>34</v>
      </c>
      <c r="F23" s="4" t="s">
        <v>40</v>
      </c>
      <c r="G23" s="4" t="str">
        <f t="shared" si="0"/>
        <v>DG 04</v>
      </c>
      <c r="H23" s="4" t="s">
        <v>53</v>
      </c>
      <c r="I23" s="4" t="s">
        <v>62</v>
      </c>
      <c r="K23" s="4" t="str">
        <f t="shared" si="2"/>
        <v/>
      </c>
    </row>
    <row r="24" spans="1:11" x14ac:dyDescent="0.3">
      <c r="A24" s="4" t="s">
        <v>21</v>
      </c>
      <c r="B24" s="4">
        <v>55</v>
      </c>
      <c r="C24" s="4" t="s">
        <v>30</v>
      </c>
      <c r="D24" s="5">
        <f t="shared" ca="1" si="1"/>
        <v>46147</v>
      </c>
      <c r="E24" s="4" t="s">
        <v>31</v>
      </c>
      <c r="F24" s="4" t="s">
        <v>39</v>
      </c>
      <c r="G24" s="4" t="str">
        <f t="shared" si="0"/>
        <v>DG 02</v>
      </c>
      <c r="H24" s="4" t="s">
        <v>57</v>
      </c>
      <c r="I24" s="4" t="s">
        <v>61</v>
      </c>
      <c r="J24" s="5">
        <v>46155</v>
      </c>
      <c r="K24" s="4" t="str">
        <f t="shared" si="2"/>
        <v/>
      </c>
    </row>
    <row r="25" spans="1:11" x14ac:dyDescent="0.3">
      <c r="A25" s="4" t="s">
        <v>22</v>
      </c>
      <c r="B25" s="4">
        <v>28</v>
      </c>
      <c r="C25" s="4" t="s">
        <v>29</v>
      </c>
      <c r="D25" s="5">
        <f t="shared" ca="1" si="1"/>
        <v>46174</v>
      </c>
      <c r="E25" s="4" t="s">
        <v>34</v>
      </c>
      <c r="F25" s="4" t="s">
        <v>40</v>
      </c>
      <c r="G25" s="4" t="str">
        <f t="shared" si="0"/>
        <v>DG 04</v>
      </c>
      <c r="H25" s="4" t="s">
        <v>53</v>
      </c>
      <c r="I25" s="4" t="s">
        <v>62</v>
      </c>
      <c r="K25" s="4" t="str">
        <f t="shared" si="2"/>
        <v/>
      </c>
    </row>
    <row r="26" spans="1:11" x14ac:dyDescent="0.3">
      <c r="A26" s="4" t="s">
        <v>23</v>
      </c>
      <c r="B26" s="4">
        <v>34</v>
      </c>
      <c r="C26" s="4" t="s">
        <v>30</v>
      </c>
      <c r="D26" s="5">
        <f t="shared" ca="1" si="1"/>
        <v>46128</v>
      </c>
      <c r="E26" s="4" t="s">
        <v>34</v>
      </c>
      <c r="F26" s="4" t="s">
        <v>40</v>
      </c>
      <c r="G26" s="4" t="str">
        <f t="shared" si="0"/>
        <v>DG 04</v>
      </c>
      <c r="H26" s="4" t="s">
        <v>53</v>
      </c>
      <c r="I26" s="4" t="s">
        <v>62</v>
      </c>
      <c r="K26" s="4" t="str">
        <f t="shared" si="2"/>
        <v/>
      </c>
    </row>
    <row r="27" spans="1:11" x14ac:dyDescent="0.3">
      <c r="A27" s="4" t="s">
        <v>24</v>
      </c>
      <c r="B27" s="4">
        <v>44</v>
      </c>
      <c r="C27" s="4" t="s">
        <v>30</v>
      </c>
      <c r="D27" s="5">
        <f t="shared" ca="1" si="1"/>
        <v>46162</v>
      </c>
      <c r="E27" s="4" t="s">
        <v>31</v>
      </c>
      <c r="F27" s="4" t="s">
        <v>39</v>
      </c>
      <c r="G27" s="4" t="str">
        <f t="shared" si="0"/>
        <v>DG 02</v>
      </c>
      <c r="H27" s="4" t="s">
        <v>57</v>
      </c>
      <c r="I27" s="4" t="s">
        <v>63</v>
      </c>
      <c r="J27" s="5">
        <v>46142</v>
      </c>
      <c r="K27" s="4" t="str">
        <f t="shared" si="2"/>
        <v/>
      </c>
    </row>
    <row r="28" spans="1:11" x14ac:dyDescent="0.3">
      <c r="A28" s="4" t="s">
        <v>25</v>
      </c>
      <c r="B28" s="4">
        <v>14</v>
      </c>
      <c r="C28" s="4" t="s">
        <v>30</v>
      </c>
      <c r="D28" s="5">
        <f t="shared" ca="1" si="1"/>
        <v>46135</v>
      </c>
      <c r="E28" s="4" t="s">
        <v>31</v>
      </c>
      <c r="G28" s="4" t="str">
        <f t="shared" si="0"/>
        <v/>
      </c>
      <c r="I28" s="4" t="s">
        <v>63</v>
      </c>
      <c r="J28" s="5">
        <v>46163</v>
      </c>
      <c r="K28" s="4" t="str">
        <f t="shared" si="2"/>
        <v>Query:Diagnosis Missing</v>
      </c>
    </row>
    <row r="29" spans="1:11" x14ac:dyDescent="0.3">
      <c r="A29" s="4" t="s">
        <v>26</v>
      </c>
      <c r="B29" s="4">
        <v>56</v>
      </c>
      <c r="C29" s="4" t="s">
        <v>29</v>
      </c>
      <c r="D29" s="5">
        <f t="shared" ca="1" si="1"/>
        <v>46121</v>
      </c>
      <c r="E29" s="4" t="s">
        <v>31</v>
      </c>
      <c r="F29" s="4" t="s">
        <v>38</v>
      </c>
      <c r="G29" s="4" t="str">
        <f t="shared" si="0"/>
        <v>DG 01</v>
      </c>
      <c r="H29" s="4" t="s">
        <v>56</v>
      </c>
      <c r="I29" s="4" t="s">
        <v>62</v>
      </c>
      <c r="J29" s="5">
        <v>46146</v>
      </c>
      <c r="K29" s="4" t="str">
        <f t="shared" si="2"/>
        <v/>
      </c>
    </row>
    <row r="30" spans="1:11" x14ac:dyDescent="0.3">
      <c r="A30" s="4" t="s">
        <v>27</v>
      </c>
      <c r="B30" s="4">
        <v>45</v>
      </c>
      <c r="C30" s="4" t="s">
        <v>29</v>
      </c>
      <c r="D30" s="5">
        <f t="shared" ca="1" si="1"/>
        <v>46160</v>
      </c>
      <c r="E30" s="4" t="s">
        <v>31</v>
      </c>
      <c r="G30" s="4" t="str">
        <f t="shared" si="0"/>
        <v/>
      </c>
      <c r="H30" s="4" t="s">
        <v>57</v>
      </c>
      <c r="I30" s="4" t="s">
        <v>63</v>
      </c>
      <c r="J30" s="5">
        <v>46152</v>
      </c>
      <c r="K30" s="4" t="str">
        <f t="shared" si="2"/>
        <v>Query:Diagnosis Missing</v>
      </c>
    </row>
    <row r="31" spans="1:11" x14ac:dyDescent="0.3">
      <c r="A31" s="4" t="s">
        <v>28</v>
      </c>
      <c r="B31" s="4">
        <v>38</v>
      </c>
      <c r="C31" s="4" t="s">
        <v>30</v>
      </c>
      <c r="D31" s="5">
        <f t="shared" ca="1" si="1"/>
        <v>46163</v>
      </c>
      <c r="E31" s="4" t="s">
        <v>34</v>
      </c>
      <c r="F31" s="4" t="s">
        <v>40</v>
      </c>
      <c r="G31" s="4" t="str">
        <f t="shared" si="0"/>
        <v>DG 04</v>
      </c>
      <c r="H31" s="4" t="s">
        <v>53</v>
      </c>
      <c r="I31" s="4" t="s">
        <v>62</v>
      </c>
    </row>
  </sheetData>
  <phoneticPr fontId="2" type="noConversion"/>
  <conditionalFormatting sqref="A1:A1048576">
    <cfRule type="duplicateValues" dxfId="4" priority="3"/>
  </conditionalFormatting>
  <conditionalFormatting sqref="I1:I1048576">
    <cfRule type="containsText" dxfId="3" priority="1" operator="containsText" text="Did Not Return">
      <formula>NOT(ISERROR(SEARCH("Did Not Return",I1)))</formula>
    </cfRule>
    <cfRule type="containsText" dxfId="2" priority="2" operator="containsText" text="Completed">
      <formula>NOT(ISERROR(SEARCH("Completed",I1)))</formula>
    </cfRule>
  </conditionalFormatting>
  <conditionalFormatting sqref="K34">
    <cfRule type="duplicateValues" dxfId="0" priority="5"/>
  </conditionalFormatting>
  <dataValidations count="4">
    <dataValidation type="list" allowBlank="1" showInputMessage="1" showErrorMessage="1" sqref="C2:C31" xr:uid="{E2E0E358-BA22-4395-B03D-0BEBDE003D83}">
      <formula1>"Male, Female"</formula1>
    </dataValidation>
    <dataValidation type="list" allowBlank="1" showInputMessage="1" showErrorMessage="1" sqref="F2:F31" xr:uid="{211A4FFB-AC3E-4A45-8028-2DA4B42B8DB2}">
      <formula1>"Periodontitis, Dentoalveolar abscess, Gingivitis, Malocclusion, Dental Caries, Impacted tooth, Pulpitis"</formula1>
    </dataValidation>
    <dataValidation type="list" allowBlank="1" showInputMessage="1" showErrorMessage="1" sqref="H2:H31" xr:uid="{D60FB1F5-02D6-4088-859C-90198BE39EEF}">
      <formula1>"Referral to specialist, Root Canal Treatment, Scaling, Orthodontic consultation, Restoration, Extraction"</formula1>
    </dataValidation>
    <dataValidation type="list" allowBlank="1" showInputMessage="1" showErrorMessage="1" sqref="I2:I31" xr:uid="{70397329-BB22-448F-BBAA-EECD12709716}">
      <formula1>"Pending, In Progress, Completed, Referred, Did Not Return"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BA959EA5-FF9E-4504-A8D9-18864E8C17C6}">
            <xm:f>NOT(ISERROR(SEARCH($K$8,K1)))</xm:f>
            <xm:f>$K$8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K1:K1048576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4237C-B57E-45F5-A696-2925E42D2A26}">
  <sheetPr>
    <tabColor rgb="FFFFFF00"/>
  </sheetPr>
  <dimension ref="A1:H10"/>
  <sheetViews>
    <sheetView workbookViewId="0">
      <selection activeCell="D19" sqref="D19"/>
    </sheetView>
  </sheetViews>
  <sheetFormatPr defaultRowHeight="14.4" x14ac:dyDescent="0.3"/>
  <cols>
    <col min="1" max="1" width="44.109375" style="4" customWidth="1"/>
    <col min="2" max="3" width="8.88671875" style="4"/>
    <col min="4" max="4" width="24.6640625" style="4" customWidth="1"/>
    <col min="5" max="7" width="8.88671875" style="4"/>
    <col min="8" max="8" width="26.6640625" style="4" customWidth="1"/>
    <col min="9" max="16384" width="8.88671875" style="4"/>
  </cols>
  <sheetData>
    <row r="1" spans="1:8" ht="54" customHeight="1" thickBot="1" x14ac:dyDescent="0.35">
      <c r="A1" s="29" t="s">
        <v>78</v>
      </c>
      <c r="B1" s="30"/>
      <c r="C1" s="30"/>
      <c r="D1" s="30"/>
      <c r="E1" s="30"/>
      <c r="F1" s="30"/>
      <c r="G1" s="30"/>
      <c r="H1" s="31"/>
    </row>
    <row r="2" spans="1:8" ht="24" thickBot="1" x14ac:dyDescent="0.35">
      <c r="A2" s="10" t="s">
        <v>42</v>
      </c>
      <c r="B2" s="11"/>
      <c r="D2" s="13" t="s">
        <v>65</v>
      </c>
      <c r="F2" s="14" t="s">
        <v>58</v>
      </c>
      <c r="H2" s="15" t="s">
        <v>59</v>
      </c>
    </row>
    <row r="3" spans="1:8" ht="16.8" customHeight="1" x14ac:dyDescent="0.3">
      <c r="A3" s="12" t="s">
        <v>43</v>
      </c>
      <c r="B3" s="12" t="s">
        <v>44</v>
      </c>
      <c r="D3" s="4" t="s">
        <v>51</v>
      </c>
      <c r="F3" s="16" t="s">
        <v>29</v>
      </c>
      <c r="H3" s="16" t="s">
        <v>60</v>
      </c>
    </row>
    <row r="4" spans="1:8" x14ac:dyDescent="0.3">
      <c r="A4" s="4" t="s">
        <v>38</v>
      </c>
      <c r="B4" s="4" t="s">
        <v>45</v>
      </c>
      <c r="D4" s="4" t="s">
        <v>56</v>
      </c>
      <c r="F4" s="16" t="s">
        <v>30</v>
      </c>
      <c r="H4" s="16" t="s">
        <v>61</v>
      </c>
    </row>
    <row r="5" spans="1:8" x14ac:dyDescent="0.3">
      <c r="A5" s="4" t="s">
        <v>39</v>
      </c>
      <c r="B5" s="4" t="s">
        <v>46</v>
      </c>
      <c r="D5" s="4" t="s">
        <v>57</v>
      </c>
      <c r="H5" s="16" t="s">
        <v>62</v>
      </c>
    </row>
    <row r="6" spans="1:8" x14ac:dyDescent="0.3">
      <c r="A6" s="4" t="s">
        <v>36</v>
      </c>
      <c r="B6" s="4" t="s">
        <v>47</v>
      </c>
      <c r="D6" s="4" t="s">
        <v>55</v>
      </c>
      <c r="H6" s="16" t="s">
        <v>63</v>
      </c>
    </row>
    <row r="7" spans="1:8" x14ac:dyDescent="0.3">
      <c r="A7" s="4" t="s">
        <v>40</v>
      </c>
      <c r="B7" s="4" t="s">
        <v>48</v>
      </c>
      <c r="D7" s="4" t="s">
        <v>54</v>
      </c>
      <c r="H7" s="16" t="s">
        <v>64</v>
      </c>
    </row>
    <row r="8" spans="1:8" x14ac:dyDescent="0.3">
      <c r="A8" s="4" t="s">
        <v>35</v>
      </c>
      <c r="B8" s="4" t="s">
        <v>49</v>
      </c>
      <c r="D8" s="4" t="s">
        <v>53</v>
      </c>
    </row>
    <row r="9" spans="1:8" x14ac:dyDescent="0.3">
      <c r="A9" s="4" t="s">
        <v>37</v>
      </c>
      <c r="B9" s="4" t="s">
        <v>50</v>
      </c>
    </row>
    <row r="10" spans="1:8" x14ac:dyDescent="0.3">
      <c r="A10" s="4" t="s">
        <v>41</v>
      </c>
      <c r="B10" s="4" t="s">
        <v>52</v>
      </c>
    </row>
  </sheetData>
  <mergeCells count="1">
    <mergeCell ref="A1:H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B89BF-B5EC-466B-9D05-B8CEABFC1F45}">
  <sheetPr>
    <tabColor rgb="FF7030A0"/>
  </sheetPr>
  <dimension ref="A1:G46"/>
  <sheetViews>
    <sheetView workbookViewId="0">
      <selection activeCell="D8" sqref="D8"/>
    </sheetView>
  </sheetViews>
  <sheetFormatPr defaultRowHeight="14.4" x14ac:dyDescent="0.3"/>
  <cols>
    <col min="1" max="1" width="27.33203125" customWidth="1"/>
    <col min="2" max="2" width="13.21875" customWidth="1"/>
    <col min="4" max="4" width="23.77734375" customWidth="1"/>
    <col min="6" max="6" width="19.44140625" bestFit="1" customWidth="1"/>
    <col min="7" max="7" width="12.5546875" bestFit="1" customWidth="1"/>
    <col min="11" max="11" width="22.33203125" bestFit="1" customWidth="1"/>
    <col min="12" max="12" width="12.21875" bestFit="1" customWidth="1"/>
  </cols>
  <sheetData>
    <row r="1" spans="1:2" ht="31.2" x14ac:dyDescent="0.6">
      <c r="A1" s="9" t="s">
        <v>66</v>
      </c>
      <c r="B1" s="8"/>
    </row>
    <row r="2" spans="1:2" ht="15" thickBot="1" x14ac:dyDescent="0.35"/>
    <row r="3" spans="1:2" ht="24" thickBot="1" x14ac:dyDescent="0.5">
      <c r="A3" s="6" t="s">
        <v>67</v>
      </c>
      <c r="B3" s="6" t="s">
        <v>68</v>
      </c>
    </row>
    <row r="4" spans="1:2" x14ac:dyDescent="0.3">
      <c r="A4" s="17" t="s">
        <v>69</v>
      </c>
      <c r="B4" s="18">
        <f>COUNTIF('Dental OP'!I2:I31, "Completed")</f>
        <v>12</v>
      </c>
    </row>
    <row r="5" spans="1:2" x14ac:dyDescent="0.3">
      <c r="A5" s="17" t="s">
        <v>71</v>
      </c>
      <c r="B5" s="18">
        <f>COUNTIF('Dental OP'!I3:I32, "In Progress")</f>
        <v>3</v>
      </c>
    </row>
    <row r="6" spans="1:2" x14ac:dyDescent="0.3">
      <c r="A6" s="17" t="s">
        <v>72</v>
      </c>
      <c r="B6" s="18">
        <f>COUNTIF('Dental OP'!I4:I33, "Pending")</f>
        <v>0</v>
      </c>
    </row>
    <row r="7" spans="1:2" x14ac:dyDescent="0.3">
      <c r="A7" s="17" t="s">
        <v>73</v>
      </c>
      <c r="B7" s="18">
        <f>COUNTIF('Dental OP'!I2:I34, "Referred")</f>
        <v>12</v>
      </c>
    </row>
    <row r="8" spans="1:2" x14ac:dyDescent="0.3">
      <c r="A8" s="17" t="s">
        <v>77</v>
      </c>
      <c r="B8" s="18">
        <f>COUNTIF('Dental OP'!I2:I35, "Did Not Return")</f>
        <v>3</v>
      </c>
    </row>
    <row r="9" spans="1:2" ht="15" thickBot="1" x14ac:dyDescent="0.35">
      <c r="A9" s="21" t="s">
        <v>70</v>
      </c>
      <c r="B9" s="22">
        <f>COUNTA('Dental OP'!A2:A31)</f>
        <v>30</v>
      </c>
    </row>
    <row r="10" spans="1:2" ht="15" thickBot="1" x14ac:dyDescent="0.35"/>
    <row r="11" spans="1:2" ht="24" thickBot="1" x14ac:dyDescent="0.5">
      <c r="A11" s="7" t="s">
        <v>75</v>
      </c>
      <c r="B11" s="7" t="s">
        <v>76</v>
      </c>
    </row>
    <row r="12" spans="1:2" x14ac:dyDescent="0.3">
      <c r="A12" s="17" t="s">
        <v>38</v>
      </c>
      <c r="B12" s="18">
        <f>COUNTIF('Dental OP'!F2:F32, "Dental Caries")</f>
        <v>4</v>
      </c>
    </row>
    <row r="13" spans="1:2" x14ac:dyDescent="0.3">
      <c r="A13" s="17" t="s">
        <v>39</v>
      </c>
      <c r="B13" s="18">
        <f>COUNTIF('Dental OP'!F1:F33, "Pulpitis")</f>
        <v>2</v>
      </c>
    </row>
    <row r="14" spans="1:2" x14ac:dyDescent="0.3">
      <c r="A14" s="17" t="s">
        <v>35</v>
      </c>
      <c r="B14" s="18">
        <f>COUNTIF('Dental OP'!F2:F34, "Periodontitis")</f>
        <v>5</v>
      </c>
    </row>
    <row r="15" spans="1:2" x14ac:dyDescent="0.3">
      <c r="A15" s="17" t="s">
        <v>36</v>
      </c>
      <c r="B15" s="18">
        <f>COUNTIF('Dental OP'!F1:F35, "Dentoalveolar abscess")</f>
        <v>1</v>
      </c>
    </row>
    <row r="16" spans="1:2" x14ac:dyDescent="0.3">
      <c r="A16" s="17" t="s">
        <v>37</v>
      </c>
      <c r="B16" s="18">
        <f>COUNTIF('Dental OP'!F1:F36, "Malocclusion")</f>
        <v>4</v>
      </c>
    </row>
    <row r="17" spans="1:7" ht="15" thickBot="1" x14ac:dyDescent="0.35">
      <c r="A17" s="19" t="s">
        <v>40</v>
      </c>
      <c r="B17" s="20">
        <f>COUNTIF('Dental OP'!F2:F37, "Gingivitis")</f>
        <v>7</v>
      </c>
    </row>
    <row r="18" spans="1:7" ht="15" thickBot="1" x14ac:dyDescent="0.35"/>
    <row r="19" spans="1:7" ht="28.8" customHeight="1" x14ac:dyDescent="0.45">
      <c r="A19" s="23" t="s">
        <v>81</v>
      </c>
      <c r="B19" s="24" t="s">
        <v>76</v>
      </c>
    </row>
    <row r="20" spans="1:7" x14ac:dyDescent="0.3">
      <c r="A20" s="17" t="s">
        <v>79</v>
      </c>
      <c r="B20" s="18">
        <f>COUNTIF('Dental OP'!K1:K34, "Query:Diagnosis Missing")</f>
        <v>6</v>
      </c>
    </row>
    <row r="21" spans="1:7" x14ac:dyDescent="0.3">
      <c r="A21" s="17" t="s">
        <v>80</v>
      </c>
      <c r="B21" s="18">
        <f>COUNTIF('Dental OP'!K1:K35, "Query:Duplicate Patient ID")</f>
        <v>1</v>
      </c>
    </row>
    <row r="22" spans="1:7" ht="15" thickBot="1" x14ac:dyDescent="0.35">
      <c r="A22" s="25" t="s">
        <v>74</v>
      </c>
      <c r="B22" s="26" cm="1">
        <f t="array" ref="B22">SUM(COUNTIFS('Dental OP'!K2:K32, {"Query:Diagnosis Missing","Query:Duplicate Patient ID"}))</f>
        <v>7</v>
      </c>
      <c r="F22" s="27" t="s">
        <v>82</v>
      </c>
      <c r="G22" t="s">
        <v>84</v>
      </c>
    </row>
    <row r="23" spans="1:7" x14ac:dyDescent="0.3">
      <c r="F23" s="28" t="s">
        <v>38</v>
      </c>
      <c r="G23">
        <v>4</v>
      </c>
    </row>
    <row r="24" spans="1:7" x14ac:dyDescent="0.3">
      <c r="F24" s="28" t="s">
        <v>36</v>
      </c>
      <c r="G24">
        <v>1</v>
      </c>
    </row>
    <row r="25" spans="1:7" x14ac:dyDescent="0.3">
      <c r="F25" s="28" t="s">
        <v>40</v>
      </c>
      <c r="G25">
        <v>7</v>
      </c>
    </row>
    <row r="26" spans="1:7" x14ac:dyDescent="0.3">
      <c r="F26" s="28" t="s">
        <v>37</v>
      </c>
      <c r="G26">
        <v>4</v>
      </c>
    </row>
    <row r="27" spans="1:7" x14ac:dyDescent="0.3">
      <c r="F27" s="28" t="s">
        <v>35</v>
      </c>
      <c r="G27">
        <v>5</v>
      </c>
    </row>
    <row r="28" spans="1:7" x14ac:dyDescent="0.3">
      <c r="F28" s="28" t="s">
        <v>39</v>
      </c>
      <c r="G28">
        <v>2</v>
      </c>
    </row>
    <row r="29" spans="1:7" x14ac:dyDescent="0.3">
      <c r="F29" s="28" t="s">
        <v>83</v>
      </c>
      <c r="G29">
        <v>23</v>
      </c>
    </row>
    <row r="42" spans="6:7" x14ac:dyDescent="0.3">
      <c r="F42" s="27" t="s">
        <v>82</v>
      </c>
      <c r="G42" t="s">
        <v>84</v>
      </c>
    </row>
    <row r="43" spans="6:7" x14ac:dyDescent="0.3">
      <c r="F43" s="28" t="s">
        <v>80</v>
      </c>
      <c r="G43">
        <v>1</v>
      </c>
    </row>
    <row r="44" spans="6:7" x14ac:dyDescent="0.3">
      <c r="F44" s="28" t="s">
        <v>79</v>
      </c>
      <c r="G44">
        <v>6</v>
      </c>
    </row>
    <row r="45" spans="6:7" x14ac:dyDescent="0.3">
      <c r="F45" s="28" t="s">
        <v>74</v>
      </c>
      <c r="G45">
        <v>7</v>
      </c>
    </row>
    <row r="46" spans="6:7" x14ac:dyDescent="0.3">
      <c r="F46" s="28" t="s">
        <v>83</v>
      </c>
      <c r="G46">
        <v>14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Dental OP</vt:lpstr>
      <vt:lpstr>Input Guide</vt:lpstr>
      <vt:lpstr>OPD Summary</vt:lpstr>
      <vt:lpstr>Diagnosis_Codes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P</dc:creator>
  <cp:lastModifiedBy>SNEHA P</cp:lastModifiedBy>
  <dcterms:created xsi:type="dcterms:W3CDTF">2026-06-17T13:34:26Z</dcterms:created>
  <dcterms:modified xsi:type="dcterms:W3CDTF">2026-06-21T02:28:14Z</dcterms:modified>
</cp:coreProperties>
</file>